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TML\Путешествие\"/>
    </mc:Choice>
  </mc:AlternateContent>
  <bookViews>
    <workbookView xWindow="0" yWindow="0" windowWidth="38400" windowHeight="17610"/>
  </bookViews>
  <sheets>
    <sheet name="Лист1" sheetId="1" r:id="rId1"/>
    <sheet name="Лист2" sheetId="2" r:id="rId2"/>
    <sheet name="Лист3" sheetId="3" r:id="rId3"/>
  </sheets>
  <calcPr calcId="162913"/>
</workbook>
</file>

<file path=xl/calcChain.xml><?xml version="1.0" encoding="utf-8"?>
<calcChain xmlns="http://schemas.openxmlformats.org/spreadsheetml/2006/main">
  <c r="I37" i="1" l="1"/>
  <c r="H37" i="1"/>
  <c r="G15" i="1" l="1"/>
  <c r="G14" i="1"/>
  <c r="G35" i="1"/>
  <c r="G31" i="1"/>
  <c r="G30" i="1"/>
  <c r="G27" i="1"/>
  <c r="G18" i="1"/>
  <c r="G11" i="1"/>
  <c r="G5" i="1"/>
  <c r="G37" i="1" l="1"/>
</calcChain>
</file>

<file path=xl/sharedStrings.xml><?xml version="1.0" encoding="utf-8"?>
<sst xmlns="http://schemas.openxmlformats.org/spreadsheetml/2006/main" count="44" uniqueCount="43">
  <si>
    <t>10.00</t>
  </si>
  <si>
    <t xml:space="preserve"> (5 часов)</t>
  </si>
  <si>
    <t>Выезд</t>
  </si>
  <si>
    <t xml:space="preserve">Центральный  автовокзал  </t>
  </si>
  <si>
    <t>15.00</t>
  </si>
  <si>
    <t>Заселение</t>
  </si>
  <si>
    <t>Коротченко, 2</t>
  </si>
  <si>
    <t>18.00</t>
  </si>
  <si>
    <t>Детский парк Елмай + Дворец земледельцев</t>
  </si>
  <si>
    <t>Свияжск и Храм Всех Религий</t>
  </si>
  <si>
    <t>19.00</t>
  </si>
  <si>
    <t>Аквапарк «Ривьера»</t>
  </si>
  <si>
    <t> ул. Фатыха Амирхана, д. 1</t>
  </si>
  <si>
    <t>выезд</t>
  </si>
  <si>
    <t>детский билет</t>
  </si>
  <si>
    <t>(змейка на сайте)</t>
  </si>
  <si>
    <t>ИТОГО</t>
  </si>
  <si>
    <t>свободный день</t>
  </si>
  <si>
    <t>08.06.2026 понедельник (ТРОИЦА)</t>
  </si>
  <si>
    <t>прогулка с фотографом</t>
  </si>
  <si>
    <r>
      <t>(Аврора 209</t>
    </r>
    <r>
      <rPr>
        <sz val="14"/>
        <color theme="1"/>
        <rFont val="Cambria"/>
        <family val="1"/>
        <charset val="204"/>
        <scheme val="major"/>
      </rPr>
      <t>)</t>
    </r>
  </si>
  <si>
    <t>06.06.2026 суббота</t>
  </si>
  <si>
    <t>07.06.2026 воскресенье</t>
  </si>
  <si>
    <t>09.06.2026 вторник</t>
  </si>
  <si>
    <t>10.06.2026 среда</t>
  </si>
  <si>
    <t>11.06.2026 четверг</t>
  </si>
  <si>
    <t>12.06.2026 пятница</t>
  </si>
  <si>
    <t>13.06.2026 суббота</t>
  </si>
  <si>
    <r>
      <rPr>
        <b/>
        <sz val="14"/>
        <color theme="1"/>
        <rFont val="Cambria"/>
        <family val="1"/>
        <charset val="204"/>
        <scheme val="major"/>
      </rPr>
      <t xml:space="preserve">Иннополис </t>
    </r>
    <r>
      <rPr>
        <sz val="14"/>
        <color theme="1"/>
        <rFont val="Cambria"/>
        <family val="1"/>
        <charset val="204"/>
        <scheme val="major"/>
      </rPr>
      <t>с посещением астрономической обсерватории</t>
    </r>
  </si>
  <si>
    <r>
      <rPr>
        <b/>
        <sz val="14"/>
        <color theme="1"/>
        <rFont val="Cambria"/>
        <family val="1"/>
        <charset val="204"/>
        <scheme val="major"/>
      </rPr>
      <t>Кремль</t>
    </r>
    <r>
      <rPr>
        <sz val="14"/>
        <color theme="1"/>
        <rFont val="Cambria"/>
        <family val="1"/>
        <charset val="204"/>
        <scheme val="major"/>
      </rPr>
      <t xml:space="preserve"> (Музей естественной истории + сокровища контрабандистов),   </t>
    </r>
    <r>
      <rPr>
        <b/>
        <sz val="14"/>
        <color theme="1"/>
        <rFont val="Cambria"/>
        <family val="1"/>
        <charset val="204"/>
        <scheme val="major"/>
      </rPr>
      <t>набережная</t>
    </r>
  </si>
  <si>
    <r>
      <rPr>
        <b/>
        <sz val="14"/>
        <color theme="1"/>
        <rFont val="Cambria"/>
        <family val="1"/>
        <charset val="204"/>
        <scheme val="major"/>
      </rPr>
      <t>Выезд</t>
    </r>
    <r>
      <rPr>
        <sz val="14"/>
        <color theme="1"/>
        <rFont val="Cambria"/>
        <family val="1"/>
        <charset val="204"/>
        <scheme val="major"/>
      </rPr>
      <t xml:space="preserve"> (Алена)</t>
    </r>
  </si>
  <si>
    <t>колесо обозрения</t>
  </si>
  <si>
    <r>
      <rPr>
        <b/>
        <sz val="14"/>
        <color theme="1"/>
        <rFont val="Cambria"/>
        <family val="1"/>
        <charset val="204"/>
        <scheme val="major"/>
      </rPr>
      <t xml:space="preserve">Дворец впечатлений </t>
    </r>
    <r>
      <rPr>
        <sz val="14"/>
        <color theme="1"/>
        <rFont val="Cambria"/>
        <family val="1"/>
        <charset val="204"/>
        <scheme val="major"/>
      </rPr>
      <t>(</t>
    </r>
    <r>
      <rPr>
        <sz val="14"/>
        <color rgb="FF000000"/>
        <rFont val="Cambria"/>
        <family val="1"/>
        <charset val="204"/>
        <scheme val="major"/>
      </rPr>
      <t>г. Казань, ул. Баумана, 31.)</t>
    </r>
  </si>
  <si>
    <t>КАЗАНЬ 2026</t>
  </si>
  <si>
    <t xml:space="preserve">цена    </t>
  </si>
  <si>
    <t>(взрослый билет )</t>
  </si>
  <si>
    <t xml:space="preserve"> + 2000 залог</t>
  </si>
  <si>
    <t>итого</t>
  </si>
  <si>
    <t>остаток</t>
  </si>
  <si>
    <t>предоплата</t>
  </si>
  <si>
    <t>10.00         (6 часов)</t>
  </si>
  <si>
    <t>17.00           1 час</t>
  </si>
  <si>
    <t>13.30        (6 часов)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</si>
</sst>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"/>
  </numFmts>
  <fonts count="1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4"/>
      <color theme="1"/>
      <name val="Cambria"/>
      <family val="1"/>
      <charset val="204"/>
      <scheme val="major"/>
    </font>
    <font>
      <sz val="14"/>
      <color rgb="FF161616"/>
      <name val="Cambria"/>
      <family val="1"/>
      <charset val="204"/>
      <scheme val="major"/>
    </font>
    <font>
      <sz val="14"/>
      <color rgb="FF000000"/>
      <name val="Cambria"/>
      <family val="1"/>
      <charset val="204"/>
      <scheme val="major"/>
    </font>
    <font>
      <b/>
      <sz val="14"/>
      <color theme="1"/>
      <name val="Cambria"/>
      <family val="1"/>
      <charset val="204"/>
      <scheme val="major"/>
    </font>
    <font>
      <b/>
      <sz val="12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6" fillId="0" borderId="0" xfId="0" applyFont="1"/>
    <xf numFmtId="0" fontId="6" fillId="0" borderId="1" xfId="0" applyFont="1" applyBorder="1"/>
    <xf numFmtId="0" fontId="4" fillId="0" borderId="1" xfId="0" applyFont="1" applyBorder="1"/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7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4" fillId="0" borderId="4" xfId="0" applyFont="1" applyBorder="1" applyAlignment="1">
      <alignment vertical="top" wrapText="1"/>
    </xf>
    <xf numFmtId="0" fontId="3" fillId="0" borderId="17" xfId="0" applyFont="1" applyBorder="1" applyAlignment="1">
      <alignment vertical="center" wrapText="1"/>
    </xf>
    <xf numFmtId="0" fontId="5" fillId="0" borderId="15" xfId="0" applyFont="1" applyBorder="1"/>
    <xf numFmtId="0" fontId="0" fillId="0" borderId="19" xfId="0" applyBorder="1"/>
    <xf numFmtId="0" fontId="6" fillId="0" borderId="19" xfId="0" applyFont="1" applyBorder="1"/>
    <xf numFmtId="0" fontId="4" fillId="0" borderId="19" xfId="0" applyFont="1" applyBorder="1"/>
    <xf numFmtId="0" fontId="5" fillId="0" borderId="19" xfId="0" applyFont="1" applyBorder="1"/>
    <xf numFmtId="0" fontId="0" fillId="0" borderId="4" xfId="0" applyFont="1" applyBorder="1"/>
    <xf numFmtId="0" fontId="0" fillId="0" borderId="5" xfId="0" applyFont="1" applyBorder="1"/>
    <xf numFmtId="0" fontId="1" fillId="0" borderId="0" xfId="0" applyFont="1"/>
    <xf numFmtId="0" fontId="9" fillId="0" borderId="2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3" fillId="0" borderId="20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vertical="center" wrapText="1"/>
    </xf>
    <xf numFmtId="14" fontId="2" fillId="0" borderId="16" xfId="0" applyNumberFormat="1" applyFont="1" applyBorder="1" applyAlignment="1">
      <alignment horizontal="center" vertical="center" wrapText="1"/>
    </xf>
    <xf numFmtId="14" fontId="2" fillId="0" borderId="15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3" fillId="0" borderId="7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0" fillId="0" borderId="25" xfId="0" applyBorder="1" applyAlignment="1">
      <alignment vertical="top" wrapText="1"/>
    </xf>
    <xf numFmtId="0" fontId="3" fillId="0" borderId="23" xfId="0" applyFont="1" applyBorder="1" applyAlignment="1">
      <alignment vertical="center" wrapText="1"/>
    </xf>
    <xf numFmtId="0" fontId="3" fillId="0" borderId="28" xfId="0" applyFont="1" applyBorder="1" applyAlignment="1">
      <alignment vertical="center" wrapText="1"/>
    </xf>
    <xf numFmtId="0" fontId="0" fillId="0" borderId="25" xfId="0" applyFont="1" applyBorder="1"/>
    <xf numFmtId="0" fontId="5" fillId="0" borderId="22" xfId="0" applyFont="1" applyBorder="1"/>
    <xf numFmtId="0" fontId="2" fillId="0" borderId="19" xfId="0" applyFont="1" applyBorder="1" applyAlignment="1">
      <alignment vertical="center" wrapText="1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37"/>
  <sheetViews>
    <sheetView tabSelected="1" workbookViewId="0">
      <selection activeCell="K43" sqref="K43"/>
    </sheetView>
  </sheetViews>
  <sheetFormatPr defaultRowHeight="18" x14ac:dyDescent="0.25"/>
  <cols>
    <col min="1" max="1" width="1.7109375" customWidth="1"/>
    <col min="2" max="2" width="14.85546875" style="27" customWidth="1"/>
    <col min="3" max="3" width="10.28515625" customWidth="1"/>
    <col min="4" max="4" width="49.5703125" style="4" customWidth="1"/>
    <col min="5" max="5" width="15.85546875" style="1" customWidth="1"/>
    <col min="6" max="6" width="10.7109375" customWidth="1"/>
    <col min="7" max="8" width="12.5703125" customWidth="1"/>
    <col min="9" max="9" width="15.85546875" customWidth="1"/>
    <col min="19" max="19" width="32.5703125" customWidth="1"/>
  </cols>
  <sheetData>
    <row r="1" spans="2:9" ht="42.75" customHeight="1" thickBot="1" x14ac:dyDescent="0.5">
      <c r="B1" s="47" t="s">
        <v>33</v>
      </c>
      <c r="C1" s="48"/>
      <c r="D1" s="48"/>
      <c r="E1" s="48"/>
      <c r="F1" s="48"/>
      <c r="G1" s="48"/>
      <c r="H1" s="48"/>
      <c r="I1" s="48"/>
    </row>
    <row r="2" spans="2:9" s="30" customFormat="1" ht="18.75" customHeight="1" x14ac:dyDescent="0.25">
      <c r="B2" s="49"/>
      <c r="C2" s="52"/>
      <c r="D2" s="55"/>
      <c r="E2" s="36" t="s">
        <v>34</v>
      </c>
      <c r="F2" s="36"/>
      <c r="G2" s="73" t="s">
        <v>37</v>
      </c>
      <c r="H2" s="73" t="s">
        <v>39</v>
      </c>
      <c r="I2" s="33" t="s">
        <v>38</v>
      </c>
    </row>
    <row r="3" spans="2:9" s="30" customFormat="1" ht="15.75" customHeight="1" x14ac:dyDescent="0.25">
      <c r="B3" s="50"/>
      <c r="C3" s="53"/>
      <c r="D3" s="56"/>
      <c r="E3" s="64" t="s">
        <v>35</v>
      </c>
      <c r="F3" s="64" t="s">
        <v>14</v>
      </c>
      <c r="G3" s="74"/>
      <c r="H3" s="74"/>
      <c r="I3" s="34"/>
    </row>
    <row r="4" spans="2:9" s="30" customFormat="1" ht="17.25" customHeight="1" thickBot="1" x14ac:dyDescent="0.3">
      <c r="B4" s="51"/>
      <c r="C4" s="54"/>
      <c r="D4" s="57"/>
      <c r="E4" s="65"/>
      <c r="F4" s="65"/>
      <c r="G4" s="75"/>
      <c r="H4" s="75"/>
      <c r="I4" s="35"/>
    </row>
    <row r="5" spans="2:9" x14ac:dyDescent="0.25">
      <c r="B5" s="44" t="s">
        <v>21</v>
      </c>
      <c r="C5" s="10" t="s">
        <v>0</v>
      </c>
      <c r="D5" s="32" t="s">
        <v>2</v>
      </c>
      <c r="E5" s="66">
        <v>2100</v>
      </c>
      <c r="F5" s="10"/>
      <c r="G5" s="66">
        <f>E5*4</f>
        <v>8400</v>
      </c>
      <c r="H5" s="37">
        <v>2000</v>
      </c>
      <c r="I5" s="81">
        <v>6400</v>
      </c>
    </row>
    <row r="6" spans="2:9" x14ac:dyDescent="0.25">
      <c r="B6" s="44"/>
      <c r="C6" s="2" t="s">
        <v>1</v>
      </c>
      <c r="D6" s="8" t="s">
        <v>3</v>
      </c>
      <c r="E6" s="67"/>
      <c r="F6" s="2"/>
      <c r="G6" s="67"/>
      <c r="H6" s="38"/>
      <c r="I6" s="59"/>
    </row>
    <row r="7" spans="2:9" ht="18.75" thickBot="1" x14ac:dyDescent="0.3">
      <c r="B7" s="44"/>
      <c r="C7" s="12"/>
      <c r="D7" s="13" t="s">
        <v>20</v>
      </c>
      <c r="E7" s="68"/>
      <c r="F7" s="12"/>
      <c r="G7" s="68"/>
      <c r="H7" s="39"/>
      <c r="I7" s="85"/>
    </row>
    <row r="8" spans="2:9" ht="18" customHeight="1" x14ac:dyDescent="0.25">
      <c r="B8" s="44"/>
      <c r="C8" s="60" t="s">
        <v>4</v>
      </c>
      <c r="D8" s="28" t="s">
        <v>5</v>
      </c>
      <c r="E8" s="31">
        <v>49000</v>
      </c>
      <c r="F8" s="3"/>
      <c r="G8" s="69">
        <v>49000</v>
      </c>
      <c r="H8" s="37">
        <v>8330</v>
      </c>
      <c r="I8" s="58">
        <v>40670</v>
      </c>
    </row>
    <row r="9" spans="2:9" ht="18.75" thickBot="1" x14ac:dyDescent="0.3">
      <c r="B9" s="44"/>
      <c r="C9" s="83"/>
      <c r="D9" s="14" t="s">
        <v>6</v>
      </c>
      <c r="E9" s="97" t="s">
        <v>36</v>
      </c>
      <c r="F9" s="11"/>
      <c r="G9" s="68"/>
      <c r="H9" s="39"/>
      <c r="I9" s="85"/>
    </row>
    <row r="10" spans="2:9" ht="36.75" thickBot="1" x14ac:dyDescent="0.3">
      <c r="B10" s="45"/>
      <c r="C10" s="15" t="s">
        <v>7</v>
      </c>
      <c r="D10" s="16" t="s">
        <v>8</v>
      </c>
      <c r="E10" s="15"/>
      <c r="F10" s="15"/>
      <c r="G10" s="15"/>
      <c r="H10" s="88"/>
      <c r="I10" s="17"/>
    </row>
    <row r="11" spans="2:9" ht="39.75" customHeight="1" x14ac:dyDescent="0.25">
      <c r="B11" s="43" t="s">
        <v>22</v>
      </c>
      <c r="C11" s="60" t="s">
        <v>40</v>
      </c>
      <c r="D11" s="87" t="s">
        <v>28</v>
      </c>
      <c r="E11" s="3">
        <v>3800</v>
      </c>
      <c r="F11" s="3">
        <v>3600</v>
      </c>
      <c r="G11" s="3">
        <f>E11*2+F11*2</f>
        <v>14800</v>
      </c>
      <c r="H11" s="89">
        <v>3552</v>
      </c>
      <c r="I11" s="58">
        <v>11248</v>
      </c>
    </row>
    <row r="12" spans="2:9" ht="6.75" customHeight="1" thickBot="1" x14ac:dyDescent="0.3">
      <c r="B12" s="45"/>
      <c r="C12" s="83"/>
      <c r="D12" s="84"/>
      <c r="E12" s="11"/>
      <c r="F12" s="11"/>
      <c r="G12" s="11"/>
      <c r="H12" s="90"/>
      <c r="I12" s="85"/>
    </row>
    <row r="13" spans="2:9" ht="30.75" customHeight="1" thickBot="1" x14ac:dyDescent="0.3">
      <c r="B13" s="70" t="s">
        <v>18</v>
      </c>
      <c r="C13" s="15" t="s">
        <v>41</v>
      </c>
      <c r="D13" s="28" t="s">
        <v>19</v>
      </c>
      <c r="E13" s="3"/>
      <c r="F13" s="3"/>
      <c r="G13" s="3">
        <v>3900</v>
      </c>
      <c r="H13" s="89">
        <v>1529</v>
      </c>
      <c r="I13" s="9">
        <v>2450</v>
      </c>
    </row>
    <row r="14" spans="2:9" ht="15.75" customHeight="1" x14ac:dyDescent="0.25">
      <c r="B14" s="71"/>
      <c r="C14" s="46"/>
      <c r="D14" s="79" t="s">
        <v>29</v>
      </c>
      <c r="E14" s="2">
        <v>450</v>
      </c>
      <c r="F14" s="2">
        <v>350</v>
      </c>
      <c r="G14" s="2">
        <f>E14*2+F14*2</f>
        <v>1600</v>
      </c>
      <c r="H14" s="91"/>
      <c r="I14" s="59"/>
    </row>
    <row r="15" spans="2:9" ht="15.75" x14ac:dyDescent="0.25">
      <c r="B15" s="71"/>
      <c r="C15" s="38"/>
      <c r="D15" s="79"/>
      <c r="E15" s="2">
        <v>200</v>
      </c>
      <c r="F15" s="2">
        <v>150</v>
      </c>
      <c r="G15" s="2">
        <f>E15*2+F15*2</f>
        <v>700</v>
      </c>
      <c r="H15" s="91"/>
      <c r="I15" s="59"/>
    </row>
    <row r="16" spans="2:9" ht="15.75" x14ac:dyDescent="0.25">
      <c r="B16" s="71"/>
      <c r="C16" s="38"/>
      <c r="D16" s="79"/>
      <c r="E16" s="2"/>
      <c r="F16" s="2"/>
      <c r="G16" s="2"/>
      <c r="H16" s="91"/>
      <c r="I16" s="59"/>
    </row>
    <row r="17" spans="2:19" ht="6" customHeight="1" thickBot="1" x14ac:dyDescent="0.3">
      <c r="B17" s="72"/>
      <c r="C17" s="39"/>
      <c r="D17" s="84"/>
      <c r="E17" s="11"/>
      <c r="F17" s="11"/>
      <c r="G17" s="11"/>
      <c r="H17" s="90"/>
      <c r="I17" s="85"/>
    </row>
    <row r="18" spans="2:19" ht="30.75" customHeight="1" x14ac:dyDescent="0.25">
      <c r="B18" s="43" t="s">
        <v>23</v>
      </c>
      <c r="C18" s="60" t="s">
        <v>42</v>
      </c>
      <c r="D18" s="62" t="s">
        <v>9</v>
      </c>
      <c r="E18" s="3">
        <v>2500</v>
      </c>
      <c r="F18" s="3">
        <v>2400</v>
      </c>
      <c r="G18" s="3">
        <f>E18*2+F18*2</f>
        <v>9800</v>
      </c>
      <c r="H18" s="37">
        <v>2744</v>
      </c>
      <c r="I18" s="58">
        <v>7056</v>
      </c>
    </row>
    <row r="19" spans="2:19" ht="15.75" customHeight="1" thickBot="1" x14ac:dyDescent="0.3">
      <c r="B19" s="44"/>
      <c r="C19" s="61"/>
      <c r="D19" s="63"/>
      <c r="E19" s="2"/>
      <c r="F19" s="2"/>
      <c r="G19" s="2"/>
      <c r="H19" s="66"/>
      <c r="I19" s="59"/>
    </row>
    <row r="20" spans="2:19" ht="5.25" hidden="1" customHeight="1" thickBot="1" x14ac:dyDescent="0.3">
      <c r="B20" s="45"/>
      <c r="C20" s="83"/>
      <c r="D20" s="86"/>
      <c r="E20" s="18"/>
      <c r="F20" s="12"/>
      <c r="G20" s="12"/>
      <c r="H20" s="92"/>
      <c r="I20" s="85"/>
    </row>
    <row r="21" spans="2:19" ht="15.75" customHeight="1" x14ac:dyDescent="0.25">
      <c r="B21" s="43" t="s">
        <v>24</v>
      </c>
      <c r="C21" s="60"/>
      <c r="D21" s="62" t="s">
        <v>17</v>
      </c>
      <c r="E21" s="60"/>
      <c r="F21" s="3"/>
      <c r="G21" s="3"/>
      <c r="H21" s="89"/>
      <c r="I21" s="58"/>
    </row>
    <row r="22" spans="2:19" ht="1.5" customHeight="1" x14ac:dyDescent="0.25">
      <c r="B22" s="44"/>
      <c r="C22" s="61"/>
      <c r="D22" s="63"/>
      <c r="E22" s="61"/>
      <c r="F22" s="2"/>
      <c r="G22" s="2"/>
      <c r="H22" s="91"/>
      <c r="I22" s="59"/>
    </row>
    <row r="23" spans="2:19" ht="11.25" customHeight="1" x14ac:dyDescent="0.25">
      <c r="B23" s="44"/>
      <c r="C23" s="61"/>
      <c r="D23" s="63"/>
      <c r="E23" s="61"/>
      <c r="F23" s="2"/>
      <c r="G23" s="2"/>
      <c r="H23" s="91"/>
      <c r="I23" s="59"/>
    </row>
    <row r="24" spans="2:19" ht="16.5" hidden="1" customHeight="1" thickBot="1" x14ac:dyDescent="0.3">
      <c r="B24" s="44"/>
      <c r="C24" s="61"/>
      <c r="D24" s="63"/>
      <c r="E24" s="61"/>
      <c r="F24" s="2"/>
      <c r="G24" s="2"/>
      <c r="H24" s="91"/>
      <c r="I24" s="59"/>
    </row>
    <row r="25" spans="2:19" ht="15.75" x14ac:dyDescent="0.25">
      <c r="B25" s="44"/>
      <c r="C25" s="61" t="s">
        <v>10</v>
      </c>
      <c r="D25" s="79" t="s">
        <v>30</v>
      </c>
      <c r="E25" s="61">
        <v>2100</v>
      </c>
      <c r="F25" s="2"/>
      <c r="G25" s="46">
        <v>2100</v>
      </c>
      <c r="H25" s="46"/>
      <c r="I25" s="59"/>
    </row>
    <row r="26" spans="2:19" ht="16.5" thickBot="1" x14ac:dyDescent="0.3">
      <c r="B26" s="45"/>
      <c r="C26" s="83"/>
      <c r="D26" s="84"/>
      <c r="E26" s="83"/>
      <c r="F26" s="11"/>
      <c r="G26" s="39"/>
      <c r="H26" s="39"/>
      <c r="I26" s="85"/>
    </row>
    <row r="27" spans="2:19" x14ac:dyDescent="0.25">
      <c r="B27" s="43" t="s">
        <v>25</v>
      </c>
      <c r="C27" s="60"/>
      <c r="D27" s="28" t="s">
        <v>11</v>
      </c>
      <c r="E27" s="3">
        <v>3400</v>
      </c>
      <c r="F27" s="3">
        <v>3000</v>
      </c>
      <c r="G27" s="3">
        <f>E27*1+F27*2</f>
        <v>9400</v>
      </c>
      <c r="H27" s="37"/>
      <c r="I27" s="58"/>
    </row>
    <row r="28" spans="2:19" x14ac:dyDescent="0.25">
      <c r="B28" s="44"/>
      <c r="C28" s="61"/>
      <c r="D28" s="7" t="s">
        <v>12</v>
      </c>
      <c r="E28" s="6">
        <v>3000</v>
      </c>
      <c r="F28" s="2">
        <v>2700</v>
      </c>
      <c r="G28" s="2"/>
      <c r="H28" s="66"/>
      <c r="I28" s="59"/>
      <c r="S28" s="98"/>
    </row>
    <row r="29" spans="2:19" x14ac:dyDescent="0.25">
      <c r="B29" s="44"/>
      <c r="C29" s="61"/>
      <c r="D29" s="5"/>
      <c r="E29" s="2"/>
      <c r="F29" s="2"/>
      <c r="G29" s="2"/>
      <c r="H29" s="91"/>
      <c r="I29" s="59"/>
    </row>
    <row r="30" spans="2:19" ht="18.75" thickBot="1" x14ac:dyDescent="0.3">
      <c r="B30" s="45"/>
      <c r="C30" s="83"/>
      <c r="D30" s="29" t="s">
        <v>31</v>
      </c>
      <c r="E30" s="11">
        <v>550</v>
      </c>
      <c r="F30" s="11">
        <v>450</v>
      </c>
      <c r="G30" s="11">
        <f>E30*1+F30*2</f>
        <v>1450</v>
      </c>
      <c r="H30" s="90"/>
      <c r="I30" s="85"/>
    </row>
    <row r="31" spans="2:19" ht="29.25" customHeight="1" x14ac:dyDescent="0.25">
      <c r="B31" s="43" t="s">
        <v>26</v>
      </c>
      <c r="C31" s="76"/>
      <c r="D31" s="78" t="s">
        <v>32</v>
      </c>
      <c r="E31" s="10">
        <v>1700</v>
      </c>
      <c r="F31" s="10"/>
      <c r="G31" s="10">
        <f>E31*3</f>
        <v>5100</v>
      </c>
      <c r="H31" s="93"/>
      <c r="I31" s="81"/>
    </row>
    <row r="32" spans="2:19" ht="15.75" x14ac:dyDescent="0.25">
      <c r="B32" s="44"/>
      <c r="C32" s="61"/>
      <c r="D32" s="79"/>
      <c r="E32" s="46" t="s">
        <v>15</v>
      </c>
      <c r="F32" s="2"/>
      <c r="G32" s="2"/>
      <c r="H32" s="91"/>
      <c r="I32" s="59"/>
    </row>
    <row r="33" spans="2:9" ht="16.5" thickBot="1" x14ac:dyDescent="0.3">
      <c r="B33" s="45"/>
      <c r="C33" s="77"/>
      <c r="D33" s="80"/>
      <c r="E33" s="39"/>
      <c r="F33" s="19"/>
      <c r="G33" s="19"/>
      <c r="H33" s="94"/>
      <c r="I33" s="82"/>
    </row>
    <row r="34" spans="2:9" ht="15.75" customHeight="1" x14ac:dyDescent="0.25">
      <c r="B34" s="43" t="s">
        <v>27</v>
      </c>
      <c r="C34" s="37" t="s">
        <v>4</v>
      </c>
      <c r="D34" s="40" t="s">
        <v>13</v>
      </c>
      <c r="E34" s="37">
        <v>2100</v>
      </c>
      <c r="F34" s="3"/>
      <c r="G34" s="3"/>
      <c r="H34" s="37">
        <v>2000</v>
      </c>
      <c r="I34" s="58">
        <v>4300</v>
      </c>
    </row>
    <row r="35" spans="2:9" ht="15.75" customHeight="1" x14ac:dyDescent="0.25">
      <c r="B35" s="44"/>
      <c r="C35" s="38"/>
      <c r="D35" s="41"/>
      <c r="E35" s="38"/>
      <c r="F35" s="2"/>
      <c r="G35" s="2">
        <f>E34*3</f>
        <v>6300</v>
      </c>
      <c r="H35" s="66"/>
      <c r="I35" s="59"/>
    </row>
    <row r="36" spans="2:9" ht="9.75" customHeight="1" thickBot="1" x14ac:dyDescent="0.3">
      <c r="B36" s="45"/>
      <c r="C36" s="39"/>
      <c r="D36" s="42"/>
      <c r="E36" s="39"/>
      <c r="F36" s="25"/>
      <c r="G36" s="25"/>
      <c r="H36" s="95"/>
      <c r="I36" s="26"/>
    </row>
    <row r="37" spans="2:9" ht="21.75" thickBot="1" x14ac:dyDescent="0.4">
      <c r="B37" s="20" t="s">
        <v>16</v>
      </c>
      <c r="C37" s="21"/>
      <c r="D37" s="22"/>
      <c r="E37" s="23"/>
      <c r="F37" s="21"/>
      <c r="G37" s="24">
        <f>SUM(G5:G35)</f>
        <v>112550</v>
      </c>
      <c r="H37" s="96">
        <f>SUM(H5:H36)</f>
        <v>20155</v>
      </c>
      <c r="I37" s="96">
        <f>SUM(I5:I36)</f>
        <v>72124</v>
      </c>
    </row>
  </sheetData>
  <mergeCells count="58">
    <mergeCell ref="H27:H28"/>
    <mergeCell ref="H34:H35"/>
    <mergeCell ref="C14:C17"/>
    <mergeCell ref="H18:H19"/>
    <mergeCell ref="G25:G26"/>
    <mergeCell ref="H25:H26"/>
    <mergeCell ref="I8:I9"/>
    <mergeCell ref="G5:G7"/>
    <mergeCell ref="H2:H4"/>
    <mergeCell ref="H5:H7"/>
    <mergeCell ref="H8:H9"/>
    <mergeCell ref="B13:B17"/>
    <mergeCell ref="G2:G4"/>
    <mergeCell ref="C31:C33"/>
    <mergeCell ref="D31:D33"/>
    <mergeCell ref="C25:C26"/>
    <mergeCell ref="D25:D26"/>
    <mergeCell ref="E25:E26"/>
    <mergeCell ref="C27:C30"/>
    <mergeCell ref="C18:C20"/>
    <mergeCell ref="D18:D20"/>
    <mergeCell ref="C11:C12"/>
    <mergeCell ref="D11:D12"/>
    <mergeCell ref="D14:D17"/>
    <mergeCell ref="E3:E4"/>
    <mergeCell ref="C8:C9"/>
    <mergeCell ref="B27:B30"/>
    <mergeCell ref="B31:B33"/>
    <mergeCell ref="B34:B36"/>
    <mergeCell ref="E32:E33"/>
    <mergeCell ref="B1:I1"/>
    <mergeCell ref="B2:B4"/>
    <mergeCell ref="C2:C4"/>
    <mergeCell ref="D2:D4"/>
    <mergeCell ref="I21:I24"/>
    <mergeCell ref="E21:E24"/>
    <mergeCell ref="D21:D24"/>
    <mergeCell ref="C21:C24"/>
    <mergeCell ref="B5:B10"/>
    <mergeCell ref="B11:B12"/>
    <mergeCell ref="B18:B20"/>
    <mergeCell ref="B21:B26"/>
    <mergeCell ref="I2:I4"/>
    <mergeCell ref="E2:F2"/>
    <mergeCell ref="C34:C36"/>
    <mergeCell ref="D34:D36"/>
    <mergeCell ref="E34:E36"/>
    <mergeCell ref="F3:F4"/>
    <mergeCell ref="E5:E7"/>
    <mergeCell ref="G8:G9"/>
    <mergeCell ref="I31:I33"/>
    <mergeCell ref="I34:I35"/>
    <mergeCell ref="I25:I26"/>
    <mergeCell ref="I27:I30"/>
    <mergeCell ref="I18:I20"/>
    <mergeCell ref="I11:I12"/>
    <mergeCell ref="I14:I17"/>
    <mergeCell ref="I5:I7"/>
  </mergeCells>
  <pageMargins left="0.31496062992125984" right="0.31496062992125984" top="0.35433070866141736" bottom="0.35433070866141736" header="0.31496062992125984" footer="0.31496062992125984"/>
  <pageSetup paperSize="9" scale="8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Романова Светлана Михайловна</dc:creator>
  <cp:lastModifiedBy>Пользователь</cp:lastModifiedBy>
  <cp:lastPrinted>2026-05-28T12:19:59Z</cp:lastPrinted>
  <dcterms:created xsi:type="dcterms:W3CDTF">2026-05-28T11:39:26Z</dcterms:created>
  <dcterms:modified xsi:type="dcterms:W3CDTF">2026-05-29T16:11:11Z</dcterms:modified>
</cp:coreProperties>
</file>